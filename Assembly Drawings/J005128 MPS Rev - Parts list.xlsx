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028" yWindow="408" windowWidth="19140" windowHeight="10836"/>
  </bookViews>
  <sheets>
    <sheet name="MPS Parts List" sheetId="1" r:id="rId1"/>
    <sheet name="Exported Original BOMS from Inv" sheetId="2" r:id="rId2"/>
  </sheets>
  <calcPr calcId="145621"/>
</workbook>
</file>

<file path=xl/calcChain.xml><?xml version="1.0" encoding="utf-8"?>
<calcChain xmlns="http://schemas.openxmlformats.org/spreadsheetml/2006/main">
  <c r="I48" i="1" l="1"/>
  <c r="I47" i="1"/>
  <c r="I46" i="1"/>
  <c r="I45" i="1"/>
  <c r="I42" i="1"/>
  <c r="I41" i="1"/>
  <c r="I40" i="1"/>
  <c r="I39" i="1"/>
  <c r="I38" i="1"/>
  <c r="I37" i="1"/>
  <c r="I49" i="1" l="1"/>
  <c r="I13" i="1"/>
  <c r="I14" i="1"/>
  <c r="I15" i="1"/>
  <c r="I6" i="1"/>
  <c r="I16" i="1"/>
  <c r="I17" i="1"/>
  <c r="I34" i="1"/>
  <c r="I18" i="1"/>
  <c r="I19" i="1"/>
  <c r="I7" i="1"/>
  <c r="I35" i="1"/>
  <c r="I8" i="1"/>
  <c r="I20" i="1"/>
  <c r="I21" i="1"/>
  <c r="I9" i="1"/>
  <c r="I22" i="1"/>
  <c r="I23" i="1"/>
  <c r="I24" i="1"/>
  <c r="I43" i="1"/>
  <c r="I44" i="1"/>
  <c r="I25" i="1"/>
  <c r="I26" i="1"/>
  <c r="I5" i="1"/>
  <c r="I10" i="1"/>
  <c r="I27" i="1"/>
  <c r="I28" i="1"/>
  <c r="I29" i="1"/>
  <c r="I30" i="1"/>
  <c r="I31" i="1"/>
  <c r="I32" i="1"/>
  <c r="I33" i="1"/>
  <c r="I11" i="1"/>
  <c r="I12" i="1"/>
  <c r="I51" i="1" l="1"/>
</calcChain>
</file>

<file path=xl/sharedStrings.xml><?xml version="1.0" encoding="utf-8"?>
<sst xmlns="http://schemas.openxmlformats.org/spreadsheetml/2006/main" count="547" uniqueCount="177">
  <si>
    <t>Cost</t>
  </si>
  <si>
    <t>Ext. Cost</t>
  </si>
  <si>
    <t>Animal Mount</t>
  </si>
  <si>
    <t>WG30530</t>
  </si>
  <si>
    <t>TR6</t>
  </si>
  <si>
    <t>BA1S</t>
  </si>
  <si>
    <t>T-NA08A50-S-KT04</t>
  </si>
  <si>
    <t>USB to RS-232 converter</t>
  </si>
  <si>
    <t>T-USB</t>
  </si>
  <si>
    <t>FPQSTA6-P4.76-L8-B2</t>
  </si>
  <si>
    <t>NOSC4-6-14</t>
  </si>
  <si>
    <t>NOSC5-10-16</t>
  </si>
  <si>
    <t>MPS Spring Mount</t>
  </si>
  <si>
    <t>MPS Top Plate Left</t>
  </si>
  <si>
    <t>MPS Top Plate Right</t>
  </si>
  <si>
    <t>Zera</t>
  </si>
  <si>
    <t>J002887</t>
  </si>
  <si>
    <t>J002876</t>
  </si>
  <si>
    <t>J002880</t>
  </si>
  <si>
    <t>J002886</t>
  </si>
  <si>
    <t>J002874</t>
  </si>
  <si>
    <t>J002875</t>
  </si>
  <si>
    <t>MPS Clamp Base</t>
  </si>
  <si>
    <t>MPS Pin Block</t>
  </si>
  <si>
    <t>MPS Clamp Bar</t>
  </si>
  <si>
    <t>White Glove</t>
  </si>
  <si>
    <t>J002866</t>
  </si>
  <si>
    <t>J002873</t>
  </si>
  <si>
    <t>J002865</t>
  </si>
  <si>
    <t>J002856</t>
  </si>
  <si>
    <t>J002859</t>
  </si>
  <si>
    <t>MPS H Bar Clamp Top</t>
  </si>
  <si>
    <t>MPS H Bar Clamp Bottom</t>
  </si>
  <si>
    <t>ITEM</t>
  </si>
  <si>
    <t>QTY</t>
  </si>
  <si>
    <t>FILE NAME</t>
  </si>
  <si>
    <t>PART NUMBER</t>
  </si>
  <si>
    <t>VENDOR</t>
  </si>
  <si>
    <t>DESCRIPTION</t>
  </si>
  <si>
    <t>A.I. PART #</t>
  </si>
  <si>
    <t>A.I. VENDOR</t>
  </si>
  <si>
    <t>91292A118.ipt</t>
  </si>
  <si>
    <t>91292A118</t>
  </si>
  <si>
    <t>MCMASTER</t>
  </si>
  <si>
    <t>SCREW, SHC, SS, M4 x 16</t>
  </si>
  <si>
    <t>N/A</t>
  </si>
  <si>
    <t>90965A160.ipt</t>
  </si>
  <si>
    <t>90965A160</t>
  </si>
  <si>
    <t>WASHER, FLAT, SS, M5 SCREW</t>
  </si>
  <si>
    <t>90145A414.ipt</t>
  </si>
  <si>
    <t>90145A414</t>
  </si>
  <si>
    <t>PIN, DOWEL, SS, 1/16 DIA x 3/16 L</t>
  </si>
  <si>
    <t>92290A115.ipt</t>
  </si>
  <si>
    <t>92290A115</t>
  </si>
  <si>
    <t>SCREW, SHC, SS, M3 x 10</t>
  </si>
  <si>
    <t>MPS H Bar Clamp Bottom.ipt</t>
  </si>
  <si>
    <t>HHMI: JFRC - ID&amp;F</t>
  </si>
  <si>
    <t>MPS H Bar Clamp Top.ipt</t>
  </si>
  <si>
    <t>MPS Sling Assy.iam</t>
  </si>
  <si>
    <t>J005127</t>
  </si>
  <si>
    <t xml:space="preserve">MPS SLING ASSY </t>
  </si>
  <si>
    <t>NOSC5-10-16.ipt</t>
  </si>
  <si>
    <t>MISUMI</t>
  </si>
  <si>
    <t>KNOB, KNURLED, M5 x 10, 16 MM DIA</t>
  </si>
  <si>
    <t>98381A421.ipt</t>
  </si>
  <si>
    <t>98381A421</t>
  </si>
  <si>
    <t>PIN, DOWEL, STEEL, 1/16 DIA x 5/8 L</t>
  </si>
  <si>
    <t>92290A013.ipt</t>
  </si>
  <si>
    <t>92290A013</t>
  </si>
  <si>
    <t>SCREW, SHC, SS, M2 x 6</t>
  </si>
  <si>
    <t>WG30530.ipt</t>
  </si>
  <si>
    <t>THORLABS</t>
  </si>
  <si>
    <t>WINDOW, SAPPHIRE, 1/2" DIA</t>
  </si>
  <si>
    <t>MPS Clamp Base.ipt</t>
  </si>
  <si>
    <t>MPS Clamp Bar.ipt</t>
  </si>
  <si>
    <t>93615A422.ipt</t>
  </si>
  <si>
    <t>93615A422</t>
  </si>
  <si>
    <t>SCREW, SHC, SS, LOW HEAD, 1/4-20 x 1-1/4</t>
  </si>
  <si>
    <t>93886A140.ipt</t>
  </si>
  <si>
    <t>93886A140</t>
  </si>
  <si>
    <t>NUT, THUMB, 1/4-20 x 3/4 DIA</t>
  </si>
  <si>
    <t>MPS Top Plate Right.ipt</t>
  </si>
  <si>
    <t>NOSC4-6-14.ipt</t>
  </si>
  <si>
    <t>KNOB, KNURLED, M4 x 6, 14MM DIA</t>
  </si>
  <si>
    <t>J003014 BOM</t>
  </si>
  <si>
    <t>J005124 BOM</t>
  </si>
  <si>
    <t>MPS Bottom Plate.ipt</t>
  </si>
  <si>
    <t xml:space="preserve">MPS Bottom Plate </t>
  </si>
  <si>
    <t>T-NA08A50-S.iam</t>
  </si>
  <si>
    <t>ZABER</t>
  </si>
  <si>
    <t>LINEAR ACTUATOR, 50MM TRAVEL</t>
  </si>
  <si>
    <t>LHSKW6.ipt</t>
  </si>
  <si>
    <t>LHSKW6</t>
  </si>
  <si>
    <t>FLANGED LINEAR BUSHING, COMPACT TYPE, DOUBLE</t>
  </si>
  <si>
    <t>92290A058.ipt</t>
  </si>
  <si>
    <t>92290A058</t>
  </si>
  <si>
    <t>SCREW, SHC, SS, M2.5 x 8</t>
  </si>
  <si>
    <t>94500A221.ipt</t>
  </si>
  <si>
    <t>94500A221</t>
  </si>
  <si>
    <t>SCREW, BHC, SS, M3 x 6</t>
  </si>
  <si>
    <t>MPS Spring Mount.ipt</t>
  </si>
  <si>
    <t>FPQSTA6-P4_76-L8-B2.ipt</t>
  </si>
  <si>
    <t>LOCATING PIN, SPHERICAL SMALL HEAD, TAPPED</t>
  </si>
  <si>
    <t>92015A104.ipt</t>
  </si>
  <si>
    <t>92015A104</t>
  </si>
  <si>
    <t>SCREW, SET, SS,M3 x 6</t>
  </si>
  <si>
    <t>98017A199.ipt</t>
  </si>
  <si>
    <t>98017A199</t>
  </si>
  <si>
    <t>WASHER, SS, 0.39 ID , 0.625 OD</t>
  </si>
  <si>
    <t>91292A832.ipt</t>
  </si>
  <si>
    <t>91292A832</t>
  </si>
  <si>
    <t>SCREW, SHC, SS, M2 x 8</t>
  </si>
  <si>
    <t>MPS TR6 AI.ipt</t>
  </si>
  <si>
    <t>J005123</t>
  </si>
  <si>
    <t>HHMI: JRC - ID&amp;F</t>
  </si>
  <si>
    <t xml:space="preserve">MPS TR6 AI </t>
  </si>
  <si>
    <t>THOR LABS</t>
  </si>
  <si>
    <t>MPS BA1S AI.ipt</t>
  </si>
  <si>
    <t>J005126</t>
  </si>
  <si>
    <t xml:space="preserve">MPS BA1S AI </t>
  </si>
  <si>
    <t>92185A537.ipt</t>
  </si>
  <si>
    <t>92185A537</t>
  </si>
  <si>
    <t>SCREW, SHC, SS, 1/4-20 x 1/2 L</t>
  </si>
  <si>
    <t>90145A417.ipt</t>
  </si>
  <si>
    <t>90145A417</t>
  </si>
  <si>
    <t>PIN, DOWEL, SS, 0.0625 DIA x 0.375 L</t>
  </si>
  <si>
    <t>80197.ipt</t>
  </si>
  <si>
    <t>CENTURY SPRING</t>
  </si>
  <si>
    <t>SPRING, EXTENSION, MW, 0.18 OD x 0.63 L, 0.029 WIRE DIA</t>
  </si>
  <si>
    <t>SSFAW6-90-M3-N3.ipt</t>
  </si>
  <si>
    <t>SSFAW6-90-M3-N3</t>
  </si>
  <si>
    <t>LINEAR SHAFT, 6MM DIA x 90MM L, M3 TAPPED</t>
  </si>
  <si>
    <t>J005127 BOM</t>
  </si>
  <si>
    <t>MPS Sling.iam</t>
  </si>
  <si>
    <t>MPS SLING</t>
  </si>
  <si>
    <t>MPS Tube Holder.ipt</t>
  </si>
  <si>
    <t>MPS TUBE HOLDER</t>
  </si>
  <si>
    <t>95610A170.ipt</t>
  </si>
  <si>
    <t>95610A170</t>
  </si>
  <si>
    <t>WASHER, FLAT, NYLON, M6</t>
  </si>
  <si>
    <t>96445K216.ipt</t>
  </si>
  <si>
    <t>96445K216</t>
  </si>
  <si>
    <t>WASHER, BELLEVILLE, STL, M6</t>
  </si>
  <si>
    <t>MPS Adjuster Screw.ipt</t>
  </si>
  <si>
    <t>J002885</t>
  </si>
  <si>
    <t>MPS Adjuster Screw</t>
  </si>
  <si>
    <t>90327A138</t>
  </si>
  <si>
    <t>MCMASTER CARR</t>
  </si>
  <si>
    <t>90945A726.ipt</t>
  </si>
  <si>
    <t>90945A726</t>
  </si>
  <si>
    <t xml:space="preserve">WASHER, FLAT, SS, #8 </t>
  </si>
  <si>
    <t>91292A116.ipt</t>
  </si>
  <si>
    <t>91292A116</t>
  </si>
  <si>
    <t>SCREW, SHC, SS, M4 x 10</t>
  </si>
  <si>
    <t>98317A214.ipt</t>
  </si>
  <si>
    <t>98317A214</t>
  </si>
  <si>
    <t>RING, RETAINING, E STYLE, 5-7 MM SHAFT DIAMETER</t>
  </si>
  <si>
    <t>J005128 BOM</t>
  </si>
  <si>
    <t>MPS Bottom Plate Assy.iam</t>
  </si>
  <si>
    <t>J005124</t>
  </si>
  <si>
    <t>MPS BOTTOM PLATE ASSY</t>
  </si>
  <si>
    <t>MPS Top Plate Assy.iam</t>
  </si>
  <si>
    <t>J003014</t>
  </si>
  <si>
    <t>MPS TOP PLATE ASSY</t>
  </si>
  <si>
    <t>MPS Pin Block.ipt</t>
  </si>
  <si>
    <t>94639A459.ipt</t>
  </si>
  <si>
    <t>94639A459</t>
  </si>
  <si>
    <t>SPACER, NYLON, #0 SCREW, 1/8 L</t>
  </si>
  <si>
    <t>SXSS-D1_5-L11_5-E0_5.ipt</t>
  </si>
  <si>
    <t>SXSS-D1.5-L11.5-E0.5</t>
  </si>
  <si>
    <t xml:space="preserve">LOCATING PIN, SS, 1.5MM DIA, 11.5MM L </t>
  </si>
  <si>
    <t>Original Exported BOMS by Assembly</t>
  </si>
  <si>
    <t>Total</t>
  </si>
  <si>
    <t>J005128 Project P-194005</t>
  </si>
  <si>
    <t>Notes</t>
  </si>
  <si>
    <t>Not shown in assembly drawings.</t>
  </si>
  <si>
    <t>This was modified in house to meet the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</si>
</sst>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rgb="FF333333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quotePrefix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1" xfId="0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4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/>
    </xf>
    <xf numFmtId="4" fontId="0" fillId="0" borderId="1" xfId="0" applyNumberForma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1"/>
  <sheetViews>
    <sheetView tabSelected="1" workbookViewId="0">
      <selection activeCell="B2" sqref="B2"/>
    </sheetView>
  </sheetViews>
  <sheetFormatPr defaultRowHeight="14.4" x14ac:dyDescent="0.3"/>
  <cols>
    <col min="1" max="1" width="9" style="6" customWidth="1"/>
    <col min="2" max="2" width="13.33203125" style="6" customWidth="1"/>
    <col min="3" max="3" width="50.21875" style="2" customWidth="1"/>
    <col min="4" max="4" width="20.21875" style="6" customWidth="1"/>
    <col min="5" max="5" width="32" style="6" customWidth="1"/>
    <col min="6" max="6" width="10.33203125" style="1" customWidth="1"/>
    <col min="7" max="7" width="17.44140625" style="1" customWidth="1"/>
    <col min="8" max="8" width="18.21875" style="6" customWidth="1"/>
    <col min="9" max="9" width="11.77734375" style="6" customWidth="1"/>
    <col min="10" max="10" width="37.6640625" customWidth="1"/>
  </cols>
  <sheetData>
    <row r="1" spans="1:10" x14ac:dyDescent="0.3">
      <c r="A1" s="19" t="s">
        <v>173</v>
      </c>
      <c r="C1" s="20" t="s">
        <v>2</v>
      </c>
      <c r="D1" s="8"/>
      <c r="E1" s="3"/>
    </row>
    <row r="4" spans="1:10" s="10" customFormat="1" x14ac:dyDescent="0.3">
      <c r="A4" s="14" t="s">
        <v>33</v>
      </c>
      <c r="B4" s="14" t="s">
        <v>34</v>
      </c>
      <c r="C4" s="14" t="s">
        <v>38</v>
      </c>
      <c r="D4" s="14" t="s">
        <v>36</v>
      </c>
      <c r="E4" s="14" t="s">
        <v>37</v>
      </c>
      <c r="F4" s="12" t="s">
        <v>39</v>
      </c>
      <c r="G4" s="12" t="s">
        <v>40</v>
      </c>
      <c r="H4" s="13" t="s">
        <v>0</v>
      </c>
      <c r="I4" s="13" t="s">
        <v>1</v>
      </c>
      <c r="J4" s="12" t="s">
        <v>174</v>
      </c>
    </row>
    <row r="5" spans="1:10" x14ac:dyDescent="0.3">
      <c r="A5" s="7">
        <v>1</v>
      </c>
      <c r="B5" s="7">
        <v>3</v>
      </c>
      <c r="C5" s="11" t="s">
        <v>128</v>
      </c>
      <c r="D5" s="7">
        <v>80197</v>
      </c>
      <c r="E5" s="7" t="s">
        <v>127</v>
      </c>
      <c r="F5" s="11" t="s">
        <v>45</v>
      </c>
      <c r="G5" s="11" t="s">
        <v>45</v>
      </c>
      <c r="H5" s="16">
        <v>7.02</v>
      </c>
      <c r="I5" s="17">
        <f t="shared" ref="I5:I12" si="0">H5*B5</f>
        <v>21.06</v>
      </c>
      <c r="J5" s="11"/>
    </row>
    <row r="6" spans="1:10" x14ac:dyDescent="0.3">
      <c r="A6" s="7">
        <v>2</v>
      </c>
      <c r="B6" s="7">
        <v>2</v>
      </c>
      <c r="C6" s="11" t="s">
        <v>63</v>
      </c>
      <c r="D6" s="7" t="s">
        <v>11</v>
      </c>
      <c r="E6" s="7" t="s">
        <v>62</v>
      </c>
      <c r="F6" s="11" t="s">
        <v>45</v>
      </c>
      <c r="G6" s="11" t="s">
        <v>45</v>
      </c>
      <c r="H6" s="17">
        <v>7.83</v>
      </c>
      <c r="I6" s="17">
        <f t="shared" si="0"/>
        <v>15.66</v>
      </c>
      <c r="J6" s="11"/>
    </row>
    <row r="7" spans="1:10" x14ac:dyDescent="0.3">
      <c r="A7" s="7">
        <v>3</v>
      </c>
      <c r="B7" s="7">
        <v>2</v>
      </c>
      <c r="C7" s="11" t="s">
        <v>83</v>
      </c>
      <c r="D7" s="7" t="s">
        <v>10</v>
      </c>
      <c r="E7" s="7" t="s">
        <v>62</v>
      </c>
      <c r="F7" s="11" t="s">
        <v>45</v>
      </c>
      <c r="G7" s="11" t="s">
        <v>45</v>
      </c>
      <c r="H7" s="17">
        <v>6.4</v>
      </c>
      <c r="I7" s="17">
        <f t="shared" si="0"/>
        <v>12.8</v>
      </c>
      <c r="J7" s="11"/>
    </row>
    <row r="8" spans="1:10" x14ac:dyDescent="0.3">
      <c r="A8" s="7">
        <v>4</v>
      </c>
      <c r="B8" s="7">
        <v>3</v>
      </c>
      <c r="C8" s="11" t="s">
        <v>93</v>
      </c>
      <c r="D8" s="7" t="s">
        <v>92</v>
      </c>
      <c r="E8" s="7" t="s">
        <v>62</v>
      </c>
      <c r="F8" s="11" t="s">
        <v>45</v>
      </c>
      <c r="G8" s="11" t="s">
        <v>45</v>
      </c>
      <c r="H8" s="17">
        <v>14.25</v>
      </c>
      <c r="I8" s="17">
        <f t="shared" si="0"/>
        <v>42.75</v>
      </c>
      <c r="J8" s="11"/>
    </row>
    <row r="9" spans="1:10" x14ac:dyDescent="0.3">
      <c r="A9" s="7">
        <v>5</v>
      </c>
      <c r="B9" s="7">
        <v>3</v>
      </c>
      <c r="C9" s="11" t="s">
        <v>102</v>
      </c>
      <c r="D9" s="7" t="s">
        <v>9</v>
      </c>
      <c r="E9" s="7" t="s">
        <v>62</v>
      </c>
      <c r="F9" s="11" t="s">
        <v>45</v>
      </c>
      <c r="G9" s="11" t="s">
        <v>45</v>
      </c>
      <c r="H9" s="17">
        <v>33.6</v>
      </c>
      <c r="I9" s="17">
        <f t="shared" si="0"/>
        <v>100.80000000000001</v>
      </c>
      <c r="J9" s="11"/>
    </row>
    <row r="10" spans="1:10" x14ac:dyDescent="0.3">
      <c r="A10" s="7">
        <v>6</v>
      </c>
      <c r="B10" s="7">
        <v>3</v>
      </c>
      <c r="C10" s="11" t="s">
        <v>131</v>
      </c>
      <c r="D10" s="7" t="s">
        <v>130</v>
      </c>
      <c r="E10" s="7" t="s">
        <v>62</v>
      </c>
      <c r="F10" s="11" t="s">
        <v>45</v>
      </c>
      <c r="G10" s="11" t="s">
        <v>45</v>
      </c>
      <c r="H10" s="17">
        <v>28.46</v>
      </c>
      <c r="I10" s="17">
        <f t="shared" si="0"/>
        <v>85.38</v>
      </c>
      <c r="J10" s="11"/>
    </row>
    <row r="11" spans="1:10" x14ac:dyDescent="0.3">
      <c r="A11" s="7">
        <v>7</v>
      </c>
      <c r="B11" s="7">
        <v>3</v>
      </c>
      <c r="C11" s="11" t="s">
        <v>170</v>
      </c>
      <c r="D11" s="7" t="s">
        <v>169</v>
      </c>
      <c r="E11" s="7" t="s">
        <v>62</v>
      </c>
      <c r="F11" s="11" t="s">
        <v>45</v>
      </c>
      <c r="G11" s="11" t="s">
        <v>45</v>
      </c>
      <c r="H11" s="17">
        <v>28.56</v>
      </c>
      <c r="I11" s="17">
        <f t="shared" si="0"/>
        <v>85.679999999999993</v>
      </c>
      <c r="J11" s="11"/>
    </row>
    <row r="12" spans="1:10" x14ac:dyDescent="0.3">
      <c r="A12" s="7">
        <v>8</v>
      </c>
      <c r="B12" s="7">
        <v>6</v>
      </c>
      <c r="C12" s="11" t="s">
        <v>44</v>
      </c>
      <c r="D12" s="7" t="s">
        <v>42</v>
      </c>
      <c r="E12" s="7" t="s">
        <v>43</v>
      </c>
      <c r="F12" s="11" t="s">
        <v>45</v>
      </c>
      <c r="G12" s="11" t="s">
        <v>45</v>
      </c>
      <c r="H12" s="17"/>
      <c r="I12" s="17">
        <f t="shared" si="0"/>
        <v>0</v>
      </c>
      <c r="J12" s="11"/>
    </row>
    <row r="13" spans="1:10" x14ac:dyDescent="0.3">
      <c r="A13" s="7">
        <v>9</v>
      </c>
      <c r="B13" s="7">
        <v>2</v>
      </c>
      <c r="C13" s="11" t="s">
        <v>48</v>
      </c>
      <c r="D13" s="7" t="s">
        <v>47</v>
      </c>
      <c r="E13" s="7" t="s">
        <v>43</v>
      </c>
      <c r="F13" s="11" t="s">
        <v>45</v>
      </c>
      <c r="G13" s="11" t="s">
        <v>45</v>
      </c>
      <c r="H13" s="17"/>
      <c r="I13" s="17">
        <f t="shared" ref="I13:I33" si="1">H13*B13</f>
        <v>0</v>
      </c>
      <c r="J13" s="11"/>
    </row>
    <row r="14" spans="1:10" x14ac:dyDescent="0.3">
      <c r="A14" s="7">
        <v>10</v>
      </c>
      <c r="B14" s="7">
        <v>2</v>
      </c>
      <c r="C14" s="11" t="s">
        <v>51</v>
      </c>
      <c r="D14" s="7" t="s">
        <v>50</v>
      </c>
      <c r="E14" s="7" t="s">
        <v>43</v>
      </c>
      <c r="F14" s="11" t="s">
        <v>45</v>
      </c>
      <c r="G14" s="11" t="s">
        <v>45</v>
      </c>
      <c r="H14" s="17"/>
      <c r="I14" s="17">
        <f t="shared" si="1"/>
        <v>0</v>
      </c>
      <c r="J14" s="11"/>
    </row>
    <row r="15" spans="1:10" x14ac:dyDescent="0.3">
      <c r="A15" s="7">
        <v>11</v>
      </c>
      <c r="B15" s="7">
        <v>2</v>
      </c>
      <c r="C15" s="11" t="s">
        <v>54</v>
      </c>
      <c r="D15" s="7" t="s">
        <v>53</v>
      </c>
      <c r="E15" s="7" t="s">
        <v>43</v>
      </c>
      <c r="F15" s="11" t="s">
        <v>45</v>
      </c>
      <c r="G15" s="11" t="s">
        <v>45</v>
      </c>
      <c r="H15" s="17"/>
      <c r="I15" s="17">
        <f t="shared" si="1"/>
        <v>0</v>
      </c>
      <c r="J15" s="11"/>
    </row>
    <row r="16" spans="1:10" x14ac:dyDescent="0.3">
      <c r="A16" s="7">
        <v>12</v>
      </c>
      <c r="B16" s="7">
        <v>2</v>
      </c>
      <c r="C16" s="11" t="s">
        <v>66</v>
      </c>
      <c r="D16" s="7" t="s">
        <v>65</v>
      </c>
      <c r="E16" s="7" t="s">
        <v>43</v>
      </c>
      <c r="F16" s="11" t="s">
        <v>45</v>
      </c>
      <c r="G16" s="11" t="s">
        <v>45</v>
      </c>
      <c r="H16" s="17"/>
      <c r="I16" s="17">
        <f t="shared" si="1"/>
        <v>0</v>
      </c>
      <c r="J16" s="11"/>
    </row>
    <row r="17" spans="1:10" x14ac:dyDescent="0.3">
      <c r="A17" s="7">
        <v>13</v>
      </c>
      <c r="B17" s="7">
        <v>4</v>
      </c>
      <c r="C17" s="11" t="s">
        <v>69</v>
      </c>
      <c r="D17" s="7" t="s">
        <v>68</v>
      </c>
      <c r="E17" s="7" t="s">
        <v>43</v>
      </c>
      <c r="F17" s="11" t="s">
        <v>45</v>
      </c>
      <c r="G17" s="11" t="s">
        <v>45</v>
      </c>
      <c r="H17" s="17"/>
      <c r="I17" s="17">
        <f t="shared" si="1"/>
        <v>0</v>
      </c>
      <c r="J17" s="11"/>
    </row>
    <row r="18" spans="1:10" x14ac:dyDescent="0.3">
      <c r="A18" s="7">
        <v>14</v>
      </c>
      <c r="B18" s="7">
        <v>1</v>
      </c>
      <c r="C18" s="11" t="s">
        <v>77</v>
      </c>
      <c r="D18" s="7" t="s">
        <v>76</v>
      </c>
      <c r="E18" s="7" t="s">
        <v>43</v>
      </c>
      <c r="F18" s="11" t="s">
        <v>45</v>
      </c>
      <c r="G18" s="11" t="s">
        <v>45</v>
      </c>
      <c r="H18" s="17"/>
      <c r="I18" s="17">
        <f t="shared" si="1"/>
        <v>0</v>
      </c>
      <c r="J18" s="11"/>
    </row>
    <row r="19" spans="1:10" x14ac:dyDescent="0.3">
      <c r="A19" s="7">
        <v>15</v>
      </c>
      <c r="B19" s="7">
        <v>1</v>
      </c>
      <c r="C19" s="11" t="s">
        <v>80</v>
      </c>
      <c r="D19" s="7" t="s">
        <v>79</v>
      </c>
      <c r="E19" s="7" t="s">
        <v>43</v>
      </c>
      <c r="F19" s="11" t="s">
        <v>45</v>
      </c>
      <c r="G19" s="11" t="s">
        <v>45</v>
      </c>
      <c r="H19" s="17"/>
      <c r="I19" s="17">
        <f t="shared" si="1"/>
        <v>0</v>
      </c>
      <c r="J19" s="11"/>
    </row>
    <row r="20" spans="1:10" x14ac:dyDescent="0.3">
      <c r="A20" s="7">
        <v>16</v>
      </c>
      <c r="B20" s="7">
        <v>12</v>
      </c>
      <c r="C20" s="11" t="s">
        <v>96</v>
      </c>
      <c r="D20" s="7" t="s">
        <v>95</v>
      </c>
      <c r="E20" s="7" t="s">
        <v>43</v>
      </c>
      <c r="F20" s="11" t="s">
        <v>45</v>
      </c>
      <c r="G20" s="11" t="s">
        <v>45</v>
      </c>
      <c r="H20" s="17"/>
      <c r="I20" s="17">
        <f t="shared" si="1"/>
        <v>0</v>
      </c>
      <c r="J20" s="11"/>
    </row>
    <row r="21" spans="1:10" x14ac:dyDescent="0.3">
      <c r="A21" s="7">
        <v>17</v>
      </c>
      <c r="B21" s="7">
        <v>3</v>
      </c>
      <c r="C21" s="11" t="s">
        <v>99</v>
      </c>
      <c r="D21" s="7" t="s">
        <v>98</v>
      </c>
      <c r="E21" s="7" t="s">
        <v>43</v>
      </c>
      <c r="F21" s="11" t="s">
        <v>45</v>
      </c>
      <c r="G21" s="11" t="s">
        <v>45</v>
      </c>
      <c r="H21" s="17"/>
      <c r="I21" s="17">
        <f t="shared" si="1"/>
        <v>0</v>
      </c>
      <c r="J21" s="11"/>
    </row>
    <row r="22" spans="1:10" x14ac:dyDescent="0.3">
      <c r="A22" s="7">
        <v>18</v>
      </c>
      <c r="B22" s="7">
        <v>3</v>
      </c>
      <c r="C22" s="11" t="s">
        <v>105</v>
      </c>
      <c r="D22" s="7" t="s">
        <v>104</v>
      </c>
      <c r="E22" s="7" t="s">
        <v>43</v>
      </c>
      <c r="F22" s="11" t="s">
        <v>45</v>
      </c>
      <c r="G22" s="11" t="s">
        <v>45</v>
      </c>
      <c r="H22" s="17"/>
      <c r="I22" s="17">
        <f t="shared" si="1"/>
        <v>0</v>
      </c>
      <c r="J22" s="11"/>
    </row>
    <row r="23" spans="1:10" x14ac:dyDescent="0.3">
      <c r="A23" s="7">
        <v>19</v>
      </c>
      <c r="B23" s="7">
        <v>3</v>
      </c>
      <c r="C23" s="11" t="s">
        <v>108</v>
      </c>
      <c r="D23" s="7" t="s">
        <v>107</v>
      </c>
      <c r="E23" s="7" t="s">
        <v>43</v>
      </c>
      <c r="F23" s="11" t="s">
        <v>45</v>
      </c>
      <c r="G23" s="11" t="s">
        <v>45</v>
      </c>
      <c r="H23" s="17"/>
      <c r="I23" s="17">
        <f t="shared" si="1"/>
        <v>0</v>
      </c>
      <c r="J23" s="11"/>
    </row>
    <row r="24" spans="1:10" x14ac:dyDescent="0.3">
      <c r="A24" s="7">
        <v>20</v>
      </c>
      <c r="B24" s="7">
        <v>3</v>
      </c>
      <c r="C24" s="11" t="s">
        <v>111</v>
      </c>
      <c r="D24" s="7" t="s">
        <v>110</v>
      </c>
      <c r="E24" s="7" t="s">
        <v>43</v>
      </c>
      <c r="F24" s="11" t="s">
        <v>45</v>
      </c>
      <c r="G24" s="11" t="s">
        <v>45</v>
      </c>
      <c r="H24" s="17"/>
      <c r="I24" s="17">
        <f t="shared" si="1"/>
        <v>0</v>
      </c>
      <c r="J24" s="11"/>
    </row>
    <row r="25" spans="1:10" x14ac:dyDescent="0.3">
      <c r="A25" s="7">
        <v>21</v>
      </c>
      <c r="B25" s="7">
        <v>8</v>
      </c>
      <c r="C25" s="11" t="s">
        <v>122</v>
      </c>
      <c r="D25" s="7" t="s">
        <v>121</v>
      </c>
      <c r="E25" s="7" t="s">
        <v>43</v>
      </c>
      <c r="F25" s="11" t="s">
        <v>45</v>
      </c>
      <c r="G25" s="11" t="s">
        <v>45</v>
      </c>
      <c r="H25" s="17"/>
      <c r="I25" s="17">
        <f>H25*B25</f>
        <v>0</v>
      </c>
      <c r="J25" s="11"/>
    </row>
    <row r="26" spans="1:10" x14ac:dyDescent="0.3">
      <c r="A26" s="7">
        <v>22</v>
      </c>
      <c r="B26" s="7">
        <v>3</v>
      </c>
      <c r="C26" s="11" t="s">
        <v>125</v>
      </c>
      <c r="D26" s="7" t="s">
        <v>124</v>
      </c>
      <c r="E26" s="7" t="s">
        <v>43</v>
      </c>
      <c r="F26" s="11" t="s">
        <v>45</v>
      </c>
      <c r="G26" s="11" t="s">
        <v>45</v>
      </c>
      <c r="H26" s="17"/>
      <c r="I26" s="17">
        <f t="shared" si="1"/>
        <v>0</v>
      </c>
      <c r="J26" s="11"/>
    </row>
    <row r="27" spans="1:10" x14ac:dyDescent="0.3">
      <c r="A27" s="7">
        <v>23</v>
      </c>
      <c r="B27" s="7">
        <v>2</v>
      </c>
      <c r="C27" s="11" t="s">
        <v>139</v>
      </c>
      <c r="D27" s="7" t="s">
        <v>138</v>
      </c>
      <c r="E27" s="7" t="s">
        <v>43</v>
      </c>
      <c r="F27" s="11" t="s">
        <v>45</v>
      </c>
      <c r="G27" s="11" t="s">
        <v>45</v>
      </c>
      <c r="H27" s="17"/>
      <c r="I27" s="17">
        <f t="shared" si="1"/>
        <v>0</v>
      </c>
      <c r="J27" s="11"/>
    </row>
    <row r="28" spans="1:10" x14ac:dyDescent="0.3">
      <c r="A28" s="7">
        <v>24</v>
      </c>
      <c r="B28" s="7">
        <v>1</v>
      </c>
      <c r="C28" s="11" t="s">
        <v>142</v>
      </c>
      <c r="D28" s="7" t="s">
        <v>141</v>
      </c>
      <c r="E28" s="7" t="s">
        <v>43</v>
      </c>
      <c r="F28" s="11" t="s">
        <v>45</v>
      </c>
      <c r="G28" s="11" t="s">
        <v>45</v>
      </c>
      <c r="H28" s="17"/>
      <c r="I28" s="17">
        <f t="shared" si="1"/>
        <v>0</v>
      </c>
      <c r="J28" s="11"/>
    </row>
    <row r="29" spans="1:10" x14ac:dyDescent="0.3">
      <c r="A29" s="7">
        <v>25</v>
      </c>
      <c r="B29" s="7">
        <v>1</v>
      </c>
      <c r="C29" s="11" t="s">
        <v>145</v>
      </c>
      <c r="D29" s="7" t="s">
        <v>144</v>
      </c>
      <c r="E29" s="7" t="s">
        <v>43</v>
      </c>
      <c r="F29" s="11" t="s">
        <v>146</v>
      </c>
      <c r="G29" s="11" t="s">
        <v>147</v>
      </c>
      <c r="H29" s="17"/>
      <c r="I29" s="17">
        <f t="shared" si="1"/>
        <v>0</v>
      </c>
      <c r="J29" s="11" t="s">
        <v>176</v>
      </c>
    </row>
    <row r="30" spans="1:10" x14ac:dyDescent="0.3">
      <c r="A30" s="7">
        <v>26</v>
      </c>
      <c r="B30" s="7">
        <v>4</v>
      </c>
      <c r="C30" s="11" t="s">
        <v>150</v>
      </c>
      <c r="D30" s="7" t="s">
        <v>149</v>
      </c>
      <c r="E30" s="7" t="s">
        <v>43</v>
      </c>
      <c r="F30" s="11" t="s">
        <v>45</v>
      </c>
      <c r="G30" s="11" t="s">
        <v>45</v>
      </c>
      <c r="H30" s="17"/>
      <c r="I30" s="17">
        <f t="shared" si="1"/>
        <v>0</v>
      </c>
      <c r="J30" s="11"/>
    </row>
    <row r="31" spans="1:10" x14ac:dyDescent="0.3">
      <c r="A31" s="7">
        <v>27</v>
      </c>
      <c r="B31" s="7">
        <v>4</v>
      </c>
      <c r="C31" s="11" t="s">
        <v>153</v>
      </c>
      <c r="D31" s="7" t="s">
        <v>152</v>
      </c>
      <c r="E31" s="7" t="s">
        <v>43</v>
      </c>
      <c r="F31" s="11" t="s">
        <v>45</v>
      </c>
      <c r="G31" s="11" t="s">
        <v>45</v>
      </c>
      <c r="H31" s="17"/>
      <c r="I31" s="17">
        <f t="shared" si="1"/>
        <v>0</v>
      </c>
      <c r="J31" s="11"/>
    </row>
    <row r="32" spans="1:10" x14ac:dyDescent="0.3">
      <c r="A32" s="7">
        <v>28</v>
      </c>
      <c r="B32" s="7">
        <v>1</v>
      </c>
      <c r="C32" s="11" t="s">
        <v>156</v>
      </c>
      <c r="D32" s="7" t="s">
        <v>155</v>
      </c>
      <c r="E32" s="7" t="s">
        <v>43</v>
      </c>
      <c r="F32" s="11" t="s">
        <v>45</v>
      </c>
      <c r="G32" s="11" t="s">
        <v>45</v>
      </c>
      <c r="H32" s="17"/>
      <c r="I32" s="17">
        <f t="shared" si="1"/>
        <v>0</v>
      </c>
      <c r="J32" s="11"/>
    </row>
    <row r="33" spans="1:10" x14ac:dyDescent="0.3">
      <c r="A33" s="7">
        <v>29</v>
      </c>
      <c r="B33" s="7">
        <v>6</v>
      </c>
      <c r="C33" s="11" t="s">
        <v>167</v>
      </c>
      <c r="D33" s="7" t="s">
        <v>166</v>
      </c>
      <c r="E33" s="7" t="s">
        <v>43</v>
      </c>
      <c r="F33" s="11" t="s">
        <v>45</v>
      </c>
      <c r="G33" s="11" t="s">
        <v>45</v>
      </c>
      <c r="H33" s="17"/>
      <c r="I33" s="17">
        <f t="shared" si="1"/>
        <v>0</v>
      </c>
      <c r="J33" s="11"/>
    </row>
    <row r="34" spans="1:10" x14ac:dyDescent="0.3">
      <c r="A34" s="7">
        <v>30</v>
      </c>
      <c r="B34" s="7">
        <v>1</v>
      </c>
      <c r="C34" s="11" t="s">
        <v>72</v>
      </c>
      <c r="D34" s="7" t="s">
        <v>3</v>
      </c>
      <c r="E34" s="7" t="s">
        <v>71</v>
      </c>
      <c r="F34" s="11" t="s">
        <v>45</v>
      </c>
      <c r="G34" s="11" t="s">
        <v>45</v>
      </c>
      <c r="H34" s="17">
        <v>21.7</v>
      </c>
      <c r="I34" s="17">
        <f t="shared" ref="I34:I49" si="2">H34*B34</f>
        <v>21.7</v>
      </c>
      <c r="J34" s="11"/>
    </row>
    <row r="35" spans="1:10" x14ac:dyDescent="0.3">
      <c r="A35" s="7">
        <v>31</v>
      </c>
      <c r="B35" s="7">
        <v>3</v>
      </c>
      <c r="C35" s="11" t="s">
        <v>90</v>
      </c>
      <c r="D35" s="7" t="s">
        <v>6</v>
      </c>
      <c r="E35" s="7" t="s">
        <v>89</v>
      </c>
      <c r="F35" s="11" t="s">
        <v>45</v>
      </c>
      <c r="G35" s="11" t="s">
        <v>45</v>
      </c>
      <c r="H35" s="17">
        <v>1280</v>
      </c>
      <c r="I35" s="17">
        <f t="shared" si="2"/>
        <v>3840</v>
      </c>
      <c r="J35" s="11"/>
    </row>
    <row r="36" spans="1:10" x14ac:dyDescent="0.3">
      <c r="A36" s="7">
        <v>32</v>
      </c>
      <c r="B36" s="7">
        <v>1</v>
      </c>
      <c r="C36" s="4" t="s">
        <v>7</v>
      </c>
      <c r="D36" s="5" t="s">
        <v>8</v>
      </c>
      <c r="E36" s="7" t="s">
        <v>89</v>
      </c>
      <c r="F36" s="11" t="s">
        <v>45</v>
      </c>
      <c r="G36" s="11" t="s">
        <v>45</v>
      </c>
      <c r="H36" s="17">
        <v>41</v>
      </c>
      <c r="I36" s="17">
        <v>41</v>
      </c>
      <c r="J36" s="11" t="s">
        <v>175</v>
      </c>
    </row>
    <row r="37" spans="1:10" x14ac:dyDescent="0.3">
      <c r="A37" s="7">
        <v>33</v>
      </c>
      <c r="B37" s="7">
        <v>2</v>
      </c>
      <c r="C37" s="11" t="s">
        <v>32</v>
      </c>
      <c r="D37" s="7" t="s">
        <v>30</v>
      </c>
      <c r="E37" s="7" t="s">
        <v>15</v>
      </c>
      <c r="F37" s="11" t="s">
        <v>45</v>
      </c>
      <c r="G37" s="11" t="s">
        <v>45</v>
      </c>
      <c r="H37" s="17">
        <v>226</v>
      </c>
      <c r="I37" s="17">
        <f t="shared" si="2"/>
        <v>452</v>
      </c>
      <c r="J37" s="11"/>
    </row>
    <row r="38" spans="1:10" x14ac:dyDescent="0.3">
      <c r="A38" s="7">
        <v>34</v>
      </c>
      <c r="B38" s="7">
        <v>2</v>
      </c>
      <c r="C38" s="11" t="s">
        <v>31</v>
      </c>
      <c r="D38" s="7" t="s">
        <v>29</v>
      </c>
      <c r="E38" s="7" t="s">
        <v>15</v>
      </c>
      <c r="F38" s="11" t="s">
        <v>45</v>
      </c>
      <c r="G38" s="11" t="s">
        <v>45</v>
      </c>
      <c r="H38" s="17">
        <v>274</v>
      </c>
      <c r="I38" s="17">
        <f t="shared" si="2"/>
        <v>548</v>
      </c>
      <c r="J38" s="11"/>
    </row>
    <row r="39" spans="1:10" x14ac:dyDescent="0.3">
      <c r="A39" s="7">
        <v>35</v>
      </c>
      <c r="B39" s="7">
        <v>1</v>
      </c>
      <c r="C39" s="11" t="s">
        <v>13</v>
      </c>
      <c r="D39" s="7" t="s">
        <v>20</v>
      </c>
      <c r="E39" s="7" t="s">
        <v>15</v>
      </c>
      <c r="F39" s="11" t="s">
        <v>45</v>
      </c>
      <c r="G39" s="11" t="s">
        <v>45</v>
      </c>
      <c r="H39" s="17">
        <v>646</v>
      </c>
      <c r="I39" s="17">
        <f t="shared" si="2"/>
        <v>646</v>
      </c>
      <c r="J39" s="11"/>
    </row>
    <row r="40" spans="1:10" x14ac:dyDescent="0.3">
      <c r="A40" s="7">
        <v>36</v>
      </c>
      <c r="B40" s="7">
        <v>3</v>
      </c>
      <c r="C40" s="11" t="s">
        <v>23</v>
      </c>
      <c r="D40" s="7" t="s">
        <v>27</v>
      </c>
      <c r="E40" s="7" t="s">
        <v>25</v>
      </c>
      <c r="F40" s="11" t="s">
        <v>45</v>
      </c>
      <c r="G40" s="11" t="s">
        <v>45</v>
      </c>
      <c r="H40" s="17">
        <v>75</v>
      </c>
      <c r="I40" s="17">
        <f t="shared" si="2"/>
        <v>225</v>
      </c>
      <c r="J40" s="11"/>
    </row>
    <row r="41" spans="1:10" x14ac:dyDescent="0.3">
      <c r="A41" s="7">
        <v>37</v>
      </c>
      <c r="B41" s="7">
        <v>1</v>
      </c>
      <c r="C41" s="11" t="s">
        <v>134</v>
      </c>
      <c r="D41" s="7" t="s">
        <v>17</v>
      </c>
      <c r="E41" s="7" t="s">
        <v>15</v>
      </c>
      <c r="F41" s="7"/>
      <c r="G41" s="7"/>
      <c r="H41" s="17">
        <v>596</v>
      </c>
      <c r="I41" s="17">
        <f t="shared" si="2"/>
        <v>596</v>
      </c>
      <c r="J41" s="11"/>
    </row>
    <row r="42" spans="1:10" x14ac:dyDescent="0.3">
      <c r="A42" s="7">
        <v>38</v>
      </c>
      <c r="B42" s="7">
        <v>1</v>
      </c>
      <c r="C42" s="11" t="s">
        <v>136</v>
      </c>
      <c r="D42" s="7" t="s">
        <v>18</v>
      </c>
      <c r="E42" s="7" t="s">
        <v>15</v>
      </c>
      <c r="F42" s="7"/>
      <c r="G42" s="7"/>
      <c r="H42" s="17">
        <v>521</v>
      </c>
      <c r="I42" s="17">
        <f t="shared" si="2"/>
        <v>521</v>
      </c>
      <c r="J42" s="11"/>
    </row>
    <row r="43" spans="1:10" x14ac:dyDescent="0.3">
      <c r="A43" s="7">
        <v>39</v>
      </c>
      <c r="B43" s="7">
        <v>4</v>
      </c>
      <c r="C43" s="11" t="s">
        <v>115</v>
      </c>
      <c r="D43" s="7" t="s">
        <v>113</v>
      </c>
      <c r="E43" s="7" t="s">
        <v>114</v>
      </c>
      <c r="F43" s="11" t="s">
        <v>4</v>
      </c>
      <c r="G43" s="11" t="s">
        <v>116</v>
      </c>
      <c r="H43" s="18">
        <v>6.77</v>
      </c>
      <c r="I43" s="17">
        <f t="shared" si="2"/>
        <v>27.08</v>
      </c>
      <c r="J43" s="11" t="s">
        <v>176</v>
      </c>
    </row>
    <row r="44" spans="1:10" x14ac:dyDescent="0.3">
      <c r="A44" s="7">
        <v>40</v>
      </c>
      <c r="B44" s="7">
        <v>4</v>
      </c>
      <c r="C44" s="11" t="s">
        <v>119</v>
      </c>
      <c r="D44" s="7" t="s">
        <v>118</v>
      </c>
      <c r="E44" s="7" t="s">
        <v>114</v>
      </c>
      <c r="F44" s="11" t="s">
        <v>5</v>
      </c>
      <c r="G44" s="11" t="s">
        <v>116</v>
      </c>
      <c r="H44" s="17">
        <v>5.2</v>
      </c>
      <c r="I44" s="17">
        <f t="shared" si="2"/>
        <v>20.8</v>
      </c>
      <c r="J44" s="11" t="s">
        <v>176</v>
      </c>
    </row>
    <row r="45" spans="1:10" x14ac:dyDescent="0.3">
      <c r="A45" s="7">
        <v>41</v>
      </c>
      <c r="B45" s="7">
        <v>1</v>
      </c>
      <c r="C45" s="11" t="s">
        <v>14</v>
      </c>
      <c r="D45" s="7" t="s">
        <v>21</v>
      </c>
      <c r="E45" s="7" t="s">
        <v>15</v>
      </c>
      <c r="F45" s="7"/>
      <c r="G45" s="7"/>
      <c r="H45" s="17">
        <v>433</v>
      </c>
      <c r="I45" s="17">
        <f t="shared" si="2"/>
        <v>433</v>
      </c>
      <c r="J45" s="11"/>
    </row>
    <row r="46" spans="1:10" x14ac:dyDescent="0.3">
      <c r="A46" s="7">
        <v>42</v>
      </c>
      <c r="B46" s="7">
        <v>1</v>
      </c>
      <c r="C46" s="11" t="s">
        <v>22</v>
      </c>
      <c r="D46" s="7" t="s">
        <v>26</v>
      </c>
      <c r="E46" s="7" t="s">
        <v>25</v>
      </c>
      <c r="F46" s="7"/>
      <c r="G46" s="7"/>
      <c r="H46" s="17">
        <v>200</v>
      </c>
      <c r="I46" s="17">
        <f t="shared" si="2"/>
        <v>200</v>
      </c>
      <c r="J46" s="11"/>
    </row>
    <row r="47" spans="1:10" x14ac:dyDescent="0.3">
      <c r="A47" s="7">
        <v>43</v>
      </c>
      <c r="B47" s="7">
        <v>1</v>
      </c>
      <c r="C47" s="11" t="s">
        <v>24</v>
      </c>
      <c r="D47" s="7" t="s">
        <v>28</v>
      </c>
      <c r="E47" s="7" t="s">
        <v>25</v>
      </c>
      <c r="F47" s="7"/>
      <c r="G47" s="7"/>
      <c r="H47" s="17">
        <v>250</v>
      </c>
      <c r="I47" s="17">
        <f t="shared" si="2"/>
        <v>250</v>
      </c>
      <c r="J47" s="11"/>
    </row>
    <row r="48" spans="1:10" x14ac:dyDescent="0.3">
      <c r="A48" s="7">
        <v>44</v>
      </c>
      <c r="B48" s="7">
        <v>1</v>
      </c>
      <c r="C48" s="11" t="s">
        <v>87</v>
      </c>
      <c r="D48" s="7" t="s">
        <v>16</v>
      </c>
      <c r="E48" s="7" t="s">
        <v>15</v>
      </c>
      <c r="F48" s="7"/>
      <c r="G48" s="7"/>
      <c r="H48" s="17">
        <v>355</v>
      </c>
      <c r="I48" s="17">
        <f t="shared" si="2"/>
        <v>355</v>
      </c>
      <c r="J48" s="11"/>
    </row>
    <row r="49" spans="1:10" x14ac:dyDescent="0.3">
      <c r="A49" s="7">
        <v>45</v>
      </c>
      <c r="B49" s="7">
        <v>3</v>
      </c>
      <c r="C49" s="11" t="s">
        <v>12</v>
      </c>
      <c r="D49" s="7" t="s">
        <v>19</v>
      </c>
      <c r="E49" s="7" t="s">
        <v>15</v>
      </c>
      <c r="F49" s="11" t="s">
        <v>45</v>
      </c>
      <c r="G49" s="11" t="s">
        <v>45</v>
      </c>
      <c r="H49" s="17">
        <v>134</v>
      </c>
      <c r="I49" s="17">
        <f t="shared" si="2"/>
        <v>402</v>
      </c>
      <c r="J49" s="11"/>
    </row>
    <row r="51" spans="1:10" x14ac:dyDescent="0.3">
      <c r="H51" s="9" t="s">
        <v>172</v>
      </c>
      <c r="I51" s="15">
        <f>SUM(I5:I49)</f>
        <v>8942.7099999999991</v>
      </c>
    </row>
  </sheetData>
  <pageMargins left="0.25" right="0.25" top="0.75" bottom="0.75" header="0.3" footer="0.3"/>
  <pageSetup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C55" sqref="C55"/>
    </sheetView>
  </sheetViews>
  <sheetFormatPr defaultRowHeight="14.4" x14ac:dyDescent="0.3"/>
  <cols>
    <col min="3" max="3" width="26.77734375" customWidth="1"/>
    <col min="4" max="4" width="22.21875" customWidth="1"/>
    <col min="5" max="5" width="19.21875" customWidth="1"/>
    <col min="6" max="6" width="51.88671875" customWidth="1"/>
    <col min="7" max="7" width="13" customWidth="1"/>
  </cols>
  <sheetData>
    <row r="1" spans="1:8" x14ac:dyDescent="0.3">
      <c r="A1" s="10" t="s">
        <v>171</v>
      </c>
    </row>
    <row r="2" spans="1:8" x14ac:dyDescent="0.3">
      <c r="A2" s="6"/>
      <c r="B2" s="6"/>
      <c r="C2" s="2"/>
      <c r="D2" s="6"/>
      <c r="E2" s="6"/>
      <c r="F2" s="1"/>
      <c r="G2" s="1"/>
    </row>
    <row r="3" spans="1:8" x14ac:dyDescent="0.3">
      <c r="A3" s="6"/>
      <c r="B3" s="9" t="s">
        <v>84</v>
      </c>
      <c r="C3" s="2"/>
      <c r="D3" s="6"/>
      <c r="E3" s="6"/>
      <c r="F3" s="1"/>
      <c r="G3" s="1"/>
    </row>
    <row r="4" spans="1:8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</row>
    <row r="5" spans="1:8" x14ac:dyDescent="0.3">
      <c r="A5">
        <v>1</v>
      </c>
      <c r="B5">
        <v>6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45</v>
      </c>
    </row>
    <row r="6" spans="1:8" x14ac:dyDescent="0.3">
      <c r="A6">
        <v>2</v>
      </c>
      <c r="B6">
        <v>2</v>
      </c>
      <c r="C6" t="s">
        <v>46</v>
      </c>
      <c r="D6" t="s">
        <v>47</v>
      </c>
      <c r="E6" t="s">
        <v>43</v>
      </c>
      <c r="F6" t="s">
        <v>48</v>
      </c>
      <c r="G6" t="s">
        <v>45</v>
      </c>
      <c r="H6" t="s">
        <v>45</v>
      </c>
    </row>
    <row r="7" spans="1:8" x14ac:dyDescent="0.3">
      <c r="A7">
        <v>3</v>
      </c>
      <c r="B7">
        <v>2</v>
      </c>
      <c r="C7" t="s">
        <v>49</v>
      </c>
      <c r="D7" t="s">
        <v>50</v>
      </c>
      <c r="E7" t="s">
        <v>43</v>
      </c>
      <c r="F7" t="s">
        <v>51</v>
      </c>
      <c r="G7" t="s">
        <v>45</v>
      </c>
      <c r="H7" t="s">
        <v>45</v>
      </c>
    </row>
    <row r="8" spans="1:8" x14ac:dyDescent="0.3">
      <c r="A8">
        <v>4</v>
      </c>
      <c r="B8">
        <v>2</v>
      </c>
      <c r="C8" t="s">
        <v>52</v>
      </c>
      <c r="D8" t="s">
        <v>53</v>
      </c>
      <c r="E8" t="s">
        <v>43</v>
      </c>
      <c r="F8" t="s">
        <v>54</v>
      </c>
      <c r="G8" t="s">
        <v>45</v>
      </c>
      <c r="H8" t="s">
        <v>45</v>
      </c>
    </row>
    <row r="9" spans="1:8" x14ac:dyDescent="0.3">
      <c r="A9">
        <v>5</v>
      </c>
      <c r="B9">
        <v>2</v>
      </c>
      <c r="C9" t="s">
        <v>55</v>
      </c>
      <c r="D9" t="s">
        <v>30</v>
      </c>
      <c r="E9" t="s">
        <v>56</v>
      </c>
      <c r="F9" t="s">
        <v>32</v>
      </c>
      <c r="G9" t="s">
        <v>45</v>
      </c>
      <c r="H9" t="s">
        <v>45</v>
      </c>
    </row>
    <row r="10" spans="1:8" x14ac:dyDescent="0.3">
      <c r="A10">
        <v>6</v>
      </c>
      <c r="B10">
        <v>2</v>
      </c>
      <c r="C10" t="s">
        <v>57</v>
      </c>
      <c r="D10" t="s">
        <v>29</v>
      </c>
      <c r="E10" t="s">
        <v>56</v>
      </c>
      <c r="F10" t="s">
        <v>31</v>
      </c>
      <c r="G10" t="s">
        <v>45</v>
      </c>
      <c r="H10" t="s">
        <v>45</v>
      </c>
    </row>
    <row r="11" spans="1:8" x14ac:dyDescent="0.3">
      <c r="A11">
        <v>7</v>
      </c>
      <c r="B11">
        <v>1</v>
      </c>
      <c r="C11" t="s">
        <v>13</v>
      </c>
      <c r="D11" t="s">
        <v>20</v>
      </c>
      <c r="E11" t="s">
        <v>56</v>
      </c>
      <c r="F11" t="s">
        <v>13</v>
      </c>
      <c r="G11" t="s">
        <v>45</v>
      </c>
      <c r="H11" t="s">
        <v>45</v>
      </c>
    </row>
    <row r="12" spans="1:8" x14ac:dyDescent="0.3">
      <c r="A12">
        <v>8</v>
      </c>
      <c r="B12">
        <v>1</v>
      </c>
      <c r="C12" t="s">
        <v>58</v>
      </c>
      <c r="D12" t="s">
        <v>59</v>
      </c>
      <c r="E12" t="s">
        <v>56</v>
      </c>
      <c r="F12" t="s">
        <v>60</v>
      </c>
      <c r="G12" t="s">
        <v>45</v>
      </c>
      <c r="H12" t="s">
        <v>45</v>
      </c>
    </row>
    <row r="13" spans="1:8" x14ac:dyDescent="0.3">
      <c r="A13">
        <v>9</v>
      </c>
      <c r="B13">
        <v>2</v>
      </c>
      <c r="C13" t="s">
        <v>61</v>
      </c>
      <c r="D13" t="s">
        <v>11</v>
      </c>
      <c r="E13" t="s">
        <v>62</v>
      </c>
      <c r="F13" t="s">
        <v>63</v>
      </c>
      <c r="G13" t="s">
        <v>45</v>
      </c>
      <c r="H13" t="s">
        <v>45</v>
      </c>
    </row>
    <row r="14" spans="1:8" x14ac:dyDescent="0.3">
      <c r="A14">
        <v>10</v>
      </c>
      <c r="B14">
        <v>2</v>
      </c>
      <c r="C14" t="s">
        <v>64</v>
      </c>
      <c r="D14" t="s">
        <v>65</v>
      </c>
      <c r="E14" t="s">
        <v>43</v>
      </c>
      <c r="F14" t="s">
        <v>66</v>
      </c>
      <c r="G14" t="s">
        <v>45</v>
      </c>
      <c r="H14" t="s">
        <v>45</v>
      </c>
    </row>
    <row r="15" spans="1:8" x14ac:dyDescent="0.3">
      <c r="A15">
        <v>11</v>
      </c>
      <c r="B15">
        <v>4</v>
      </c>
      <c r="C15" t="s">
        <v>67</v>
      </c>
      <c r="D15" t="s">
        <v>68</v>
      </c>
      <c r="E15" t="s">
        <v>43</v>
      </c>
      <c r="F15" t="s">
        <v>69</v>
      </c>
      <c r="G15" t="s">
        <v>45</v>
      </c>
      <c r="H15" t="s">
        <v>45</v>
      </c>
    </row>
    <row r="16" spans="1:8" x14ac:dyDescent="0.3">
      <c r="A16">
        <v>12</v>
      </c>
      <c r="B16">
        <v>1</v>
      </c>
      <c r="C16" t="s">
        <v>70</v>
      </c>
      <c r="D16" t="s">
        <v>3</v>
      </c>
      <c r="E16" t="s">
        <v>71</v>
      </c>
      <c r="F16" t="s">
        <v>72</v>
      </c>
      <c r="G16" t="s">
        <v>45</v>
      </c>
      <c r="H16" t="s">
        <v>45</v>
      </c>
    </row>
    <row r="17" spans="1:8" x14ac:dyDescent="0.3">
      <c r="A17">
        <v>13</v>
      </c>
      <c r="B17">
        <v>1</v>
      </c>
      <c r="C17" t="s">
        <v>73</v>
      </c>
      <c r="D17" t="s">
        <v>26</v>
      </c>
      <c r="E17" t="s">
        <v>56</v>
      </c>
      <c r="F17" t="s">
        <v>22</v>
      </c>
      <c r="G17" t="s">
        <v>45</v>
      </c>
      <c r="H17" t="s">
        <v>45</v>
      </c>
    </row>
    <row r="18" spans="1:8" x14ac:dyDescent="0.3">
      <c r="A18">
        <v>14</v>
      </c>
      <c r="B18">
        <v>1</v>
      </c>
      <c r="C18" t="s">
        <v>74</v>
      </c>
      <c r="D18" t="s">
        <v>28</v>
      </c>
      <c r="E18" t="s">
        <v>56</v>
      </c>
      <c r="F18" t="s">
        <v>24</v>
      </c>
      <c r="G18" t="s">
        <v>45</v>
      </c>
      <c r="H18" t="s">
        <v>45</v>
      </c>
    </row>
    <row r="19" spans="1:8" x14ac:dyDescent="0.3">
      <c r="A19">
        <v>15</v>
      </c>
      <c r="B19">
        <v>1</v>
      </c>
      <c r="C19" t="s">
        <v>75</v>
      </c>
      <c r="D19" t="s">
        <v>76</v>
      </c>
      <c r="E19" t="s">
        <v>43</v>
      </c>
      <c r="F19" t="s">
        <v>77</v>
      </c>
      <c r="G19" t="s">
        <v>45</v>
      </c>
      <c r="H19" t="s">
        <v>45</v>
      </c>
    </row>
    <row r="20" spans="1:8" x14ac:dyDescent="0.3">
      <c r="A20">
        <v>16</v>
      </c>
      <c r="B20">
        <v>1</v>
      </c>
      <c r="C20" t="s">
        <v>78</v>
      </c>
      <c r="D20" t="s">
        <v>79</v>
      </c>
      <c r="E20" t="s">
        <v>43</v>
      </c>
      <c r="F20" t="s">
        <v>80</v>
      </c>
      <c r="G20" t="s">
        <v>45</v>
      </c>
      <c r="H20" t="s">
        <v>45</v>
      </c>
    </row>
    <row r="21" spans="1:8" x14ac:dyDescent="0.3">
      <c r="A21">
        <v>17</v>
      </c>
      <c r="B21">
        <v>1</v>
      </c>
      <c r="C21" t="s">
        <v>81</v>
      </c>
      <c r="D21" t="s">
        <v>21</v>
      </c>
      <c r="E21" t="s">
        <v>56</v>
      </c>
      <c r="F21" t="s">
        <v>14</v>
      </c>
      <c r="G21" t="s">
        <v>45</v>
      </c>
      <c r="H21" t="s">
        <v>45</v>
      </c>
    </row>
    <row r="22" spans="1:8" x14ac:dyDescent="0.3">
      <c r="A22">
        <v>18</v>
      </c>
      <c r="B22">
        <v>2</v>
      </c>
      <c r="C22" t="s">
        <v>82</v>
      </c>
      <c r="D22" t="s">
        <v>10</v>
      </c>
      <c r="E22" t="s">
        <v>62</v>
      </c>
      <c r="F22" t="s">
        <v>83</v>
      </c>
      <c r="G22" t="s">
        <v>45</v>
      </c>
      <c r="H22" t="s">
        <v>45</v>
      </c>
    </row>
    <row r="24" spans="1:8" x14ac:dyDescent="0.3">
      <c r="A24" s="6"/>
      <c r="B24" s="9" t="s">
        <v>85</v>
      </c>
      <c r="C24" s="2"/>
      <c r="D24" s="6"/>
      <c r="E24" s="6"/>
      <c r="F24" s="1"/>
      <c r="G24" s="1"/>
    </row>
    <row r="25" spans="1:8" x14ac:dyDescent="0.3">
      <c r="A25" t="s">
        <v>33</v>
      </c>
      <c r="B25" t="s">
        <v>34</v>
      </c>
      <c r="C25" t="s">
        <v>35</v>
      </c>
      <c r="D25" t="s">
        <v>36</v>
      </c>
      <c r="E25" t="s">
        <v>37</v>
      </c>
      <c r="F25" t="s">
        <v>38</v>
      </c>
      <c r="G25" t="s">
        <v>39</v>
      </c>
      <c r="H25" t="s">
        <v>40</v>
      </c>
    </row>
    <row r="26" spans="1:8" x14ac:dyDescent="0.3">
      <c r="A26">
        <v>1</v>
      </c>
      <c r="B26">
        <v>1</v>
      </c>
      <c r="C26" t="s">
        <v>86</v>
      </c>
      <c r="D26" t="s">
        <v>16</v>
      </c>
      <c r="E26" t="s">
        <v>56</v>
      </c>
      <c r="F26" t="s">
        <v>87</v>
      </c>
      <c r="G26" t="s">
        <v>45</v>
      </c>
      <c r="H26" t="s">
        <v>45</v>
      </c>
    </row>
    <row r="27" spans="1:8" x14ac:dyDescent="0.3">
      <c r="A27">
        <v>2</v>
      </c>
      <c r="B27">
        <v>3</v>
      </c>
      <c r="C27" t="s">
        <v>88</v>
      </c>
      <c r="D27" t="s">
        <v>6</v>
      </c>
      <c r="E27" t="s">
        <v>89</v>
      </c>
      <c r="F27" t="s">
        <v>90</v>
      </c>
      <c r="G27" t="s">
        <v>45</v>
      </c>
      <c r="H27" t="s">
        <v>45</v>
      </c>
    </row>
    <row r="28" spans="1:8" x14ac:dyDescent="0.3">
      <c r="A28">
        <v>3</v>
      </c>
      <c r="B28">
        <v>3</v>
      </c>
      <c r="C28" t="s">
        <v>91</v>
      </c>
      <c r="D28" t="s">
        <v>92</v>
      </c>
      <c r="E28" t="s">
        <v>62</v>
      </c>
      <c r="F28" t="s">
        <v>93</v>
      </c>
      <c r="G28" t="s">
        <v>45</v>
      </c>
      <c r="H28" t="s">
        <v>45</v>
      </c>
    </row>
    <row r="29" spans="1:8" x14ac:dyDescent="0.3">
      <c r="A29">
        <v>4</v>
      </c>
      <c r="B29">
        <v>12</v>
      </c>
      <c r="C29" t="s">
        <v>94</v>
      </c>
      <c r="D29" t="s">
        <v>95</v>
      </c>
      <c r="E29" t="s">
        <v>43</v>
      </c>
      <c r="F29" t="s">
        <v>96</v>
      </c>
      <c r="G29" t="s">
        <v>45</v>
      </c>
      <c r="H29" t="s">
        <v>45</v>
      </c>
    </row>
    <row r="30" spans="1:8" x14ac:dyDescent="0.3">
      <c r="A30">
        <v>5</v>
      </c>
      <c r="B30">
        <v>3</v>
      </c>
      <c r="C30" t="s">
        <v>97</v>
      </c>
      <c r="D30" t="s">
        <v>98</v>
      </c>
      <c r="E30" t="s">
        <v>43</v>
      </c>
      <c r="F30" t="s">
        <v>99</v>
      </c>
      <c r="G30" t="s">
        <v>45</v>
      </c>
      <c r="H30" t="s">
        <v>45</v>
      </c>
    </row>
    <row r="31" spans="1:8" x14ac:dyDescent="0.3">
      <c r="A31">
        <v>6</v>
      </c>
      <c r="B31">
        <v>3</v>
      </c>
      <c r="C31" t="s">
        <v>100</v>
      </c>
      <c r="D31" t="s">
        <v>19</v>
      </c>
      <c r="E31" t="s">
        <v>56</v>
      </c>
      <c r="F31" t="s">
        <v>12</v>
      </c>
      <c r="G31" t="s">
        <v>45</v>
      </c>
      <c r="H31" t="s">
        <v>45</v>
      </c>
    </row>
    <row r="32" spans="1:8" x14ac:dyDescent="0.3">
      <c r="A32">
        <v>7</v>
      </c>
      <c r="B32">
        <v>3</v>
      </c>
      <c r="C32" t="s">
        <v>101</v>
      </c>
      <c r="D32" t="s">
        <v>9</v>
      </c>
      <c r="E32" t="s">
        <v>62</v>
      </c>
      <c r="F32" t="s">
        <v>102</v>
      </c>
      <c r="G32" t="s">
        <v>45</v>
      </c>
      <c r="H32" t="s">
        <v>45</v>
      </c>
    </row>
    <row r="33" spans="1:8" x14ac:dyDescent="0.3">
      <c r="A33">
        <v>8</v>
      </c>
      <c r="B33">
        <v>3</v>
      </c>
      <c r="C33" t="s">
        <v>103</v>
      </c>
      <c r="D33" t="s">
        <v>104</v>
      </c>
      <c r="E33" t="s">
        <v>43</v>
      </c>
      <c r="F33" t="s">
        <v>105</v>
      </c>
      <c r="G33" t="s">
        <v>45</v>
      </c>
      <c r="H33" t="s">
        <v>45</v>
      </c>
    </row>
    <row r="34" spans="1:8" x14ac:dyDescent="0.3">
      <c r="A34">
        <v>9</v>
      </c>
      <c r="B34">
        <v>3</v>
      </c>
      <c r="C34" t="s">
        <v>106</v>
      </c>
      <c r="D34" t="s">
        <v>107</v>
      </c>
      <c r="E34" t="s">
        <v>43</v>
      </c>
      <c r="F34" t="s">
        <v>108</v>
      </c>
      <c r="G34" t="s">
        <v>45</v>
      </c>
      <c r="H34" t="s">
        <v>45</v>
      </c>
    </row>
    <row r="35" spans="1:8" x14ac:dyDescent="0.3">
      <c r="A35">
        <v>10</v>
      </c>
      <c r="B35">
        <v>3</v>
      </c>
      <c r="C35" t="s">
        <v>109</v>
      </c>
      <c r="D35" t="s">
        <v>110</v>
      </c>
      <c r="E35" t="s">
        <v>43</v>
      </c>
      <c r="F35" t="s">
        <v>111</v>
      </c>
      <c r="G35" t="s">
        <v>45</v>
      </c>
      <c r="H35" t="s">
        <v>45</v>
      </c>
    </row>
    <row r="36" spans="1:8" x14ac:dyDescent="0.3">
      <c r="A36">
        <v>11</v>
      </c>
      <c r="B36">
        <v>4</v>
      </c>
      <c r="C36" t="s">
        <v>112</v>
      </c>
      <c r="D36" t="s">
        <v>113</v>
      </c>
      <c r="E36" t="s">
        <v>114</v>
      </c>
      <c r="F36" t="s">
        <v>115</v>
      </c>
      <c r="G36" t="s">
        <v>4</v>
      </c>
      <c r="H36" t="s">
        <v>116</v>
      </c>
    </row>
    <row r="37" spans="1:8" x14ac:dyDescent="0.3">
      <c r="A37">
        <v>12</v>
      </c>
      <c r="B37">
        <v>4</v>
      </c>
      <c r="C37" t="s">
        <v>117</v>
      </c>
      <c r="D37" t="s">
        <v>118</v>
      </c>
      <c r="E37" t="s">
        <v>114</v>
      </c>
      <c r="F37" t="s">
        <v>119</v>
      </c>
      <c r="G37" t="s">
        <v>5</v>
      </c>
      <c r="H37" t="s">
        <v>116</v>
      </c>
    </row>
    <row r="38" spans="1:8" x14ac:dyDescent="0.3">
      <c r="A38">
        <v>13</v>
      </c>
      <c r="B38">
        <v>8</v>
      </c>
      <c r="C38" t="s">
        <v>120</v>
      </c>
      <c r="D38" t="s">
        <v>121</v>
      </c>
      <c r="E38" t="s">
        <v>114</v>
      </c>
      <c r="F38" t="s">
        <v>122</v>
      </c>
      <c r="G38" t="s">
        <v>45</v>
      </c>
      <c r="H38" t="s">
        <v>45</v>
      </c>
    </row>
    <row r="39" spans="1:8" x14ac:dyDescent="0.3">
      <c r="A39">
        <v>14</v>
      </c>
      <c r="B39">
        <v>3</v>
      </c>
      <c r="C39" t="s">
        <v>123</v>
      </c>
      <c r="D39" t="s">
        <v>124</v>
      </c>
      <c r="E39" t="s">
        <v>43</v>
      </c>
      <c r="F39" t="s">
        <v>125</v>
      </c>
      <c r="G39" t="s">
        <v>45</v>
      </c>
      <c r="H39" t="s">
        <v>45</v>
      </c>
    </row>
    <row r="40" spans="1:8" x14ac:dyDescent="0.3">
      <c r="A40">
        <v>15</v>
      </c>
      <c r="B40">
        <v>3</v>
      </c>
      <c r="C40" t="s">
        <v>126</v>
      </c>
      <c r="D40">
        <v>80197</v>
      </c>
      <c r="E40" t="s">
        <v>127</v>
      </c>
      <c r="F40" t="s">
        <v>128</v>
      </c>
      <c r="G40" t="s">
        <v>45</v>
      </c>
      <c r="H40" t="s">
        <v>45</v>
      </c>
    </row>
    <row r="41" spans="1:8" x14ac:dyDescent="0.3">
      <c r="A41">
        <v>16</v>
      </c>
      <c r="B41">
        <v>3</v>
      </c>
      <c r="C41" t="s">
        <v>129</v>
      </c>
      <c r="D41" t="s">
        <v>130</v>
      </c>
      <c r="E41" t="s">
        <v>62</v>
      </c>
      <c r="F41" t="s">
        <v>131</v>
      </c>
      <c r="G41" t="s">
        <v>45</v>
      </c>
      <c r="H41" t="s">
        <v>45</v>
      </c>
    </row>
    <row r="42" spans="1:8" x14ac:dyDescent="0.3">
      <c r="A42" s="6"/>
      <c r="B42" s="6"/>
      <c r="C42" s="2"/>
      <c r="D42" s="6"/>
      <c r="E42" s="6"/>
      <c r="F42" s="1"/>
      <c r="G42" s="1"/>
    </row>
    <row r="43" spans="1:8" x14ac:dyDescent="0.3">
      <c r="A43" s="6"/>
      <c r="B43" s="9" t="s">
        <v>132</v>
      </c>
      <c r="C43" s="2"/>
      <c r="D43" s="6"/>
      <c r="E43" s="6"/>
      <c r="F43" s="1"/>
      <c r="G43" s="1"/>
    </row>
    <row r="44" spans="1:8" x14ac:dyDescent="0.3">
      <c r="A44" t="s">
        <v>33</v>
      </c>
      <c r="B44" t="s">
        <v>34</v>
      </c>
      <c r="C44" t="s">
        <v>35</v>
      </c>
      <c r="D44" t="s">
        <v>36</v>
      </c>
      <c r="E44" t="s">
        <v>37</v>
      </c>
      <c r="F44" t="s">
        <v>38</v>
      </c>
      <c r="G44" t="s">
        <v>39</v>
      </c>
      <c r="H44" t="s">
        <v>40</v>
      </c>
    </row>
    <row r="45" spans="1:8" x14ac:dyDescent="0.3">
      <c r="A45">
        <v>1</v>
      </c>
      <c r="B45">
        <v>1</v>
      </c>
      <c r="C45" t="s">
        <v>133</v>
      </c>
      <c r="D45" t="s">
        <v>17</v>
      </c>
      <c r="E45" t="s">
        <v>56</v>
      </c>
      <c r="F45" t="s">
        <v>134</v>
      </c>
      <c r="G45" t="s">
        <v>45</v>
      </c>
      <c r="H45" t="s">
        <v>45</v>
      </c>
    </row>
    <row r="46" spans="1:8" x14ac:dyDescent="0.3">
      <c r="A46">
        <v>2</v>
      </c>
      <c r="B46">
        <v>1</v>
      </c>
      <c r="C46" t="s">
        <v>135</v>
      </c>
      <c r="D46" t="s">
        <v>18</v>
      </c>
      <c r="E46" t="s">
        <v>56</v>
      </c>
      <c r="F46" t="s">
        <v>136</v>
      </c>
      <c r="G46" t="s">
        <v>45</v>
      </c>
      <c r="H46" t="s">
        <v>45</v>
      </c>
    </row>
    <row r="47" spans="1:8" x14ac:dyDescent="0.3">
      <c r="A47">
        <v>3</v>
      </c>
      <c r="B47">
        <v>2</v>
      </c>
      <c r="C47" t="s">
        <v>137</v>
      </c>
      <c r="D47" t="s">
        <v>138</v>
      </c>
      <c r="E47" t="s">
        <v>43</v>
      </c>
      <c r="F47" t="s">
        <v>139</v>
      </c>
      <c r="G47" t="s">
        <v>45</v>
      </c>
      <c r="H47" t="s">
        <v>45</v>
      </c>
    </row>
    <row r="48" spans="1:8" x14ac:dyDescent="0.3">
      <c r="A48">
        <v>4</v>
      </c>
      <c r="B48">
        <v>1</v>
      </c>
      <c r="C48" t="s">
        <v>140</v>
      </c>
      <c r="D48" t="s">
        <v>141</v>
      </c>
      <c r="E48" t="s">
        <v>43</v>
      </c>
      <c r="F48" t="s">
        <v>142</v>
      </c>
      <c r="G48" t="s">
        <v>45</v>
      </c>
      <c r="H48" t="s">
        <v>45</v>
      </c>
    </row>
    <row r="49" spans="1:8" x14ac:dyDescent="0.3">
      <c r="A49">
        <v>5</v>
      </c>
      <c r="B49">
        <v>1</v>
      </c>
      <c r="C49" t="s">
        <v>143</v>
      </c>
      <c r="D49" t="s">
        <v>144</v>
      </c>
      <c r="E49" t="s">
        <v>43</v>
      </c>
      <c r="F49" t="s">
        <v>145</v>
      </c>
      <c r="G49" t="s">
        <v>146</v>
      </c>
      <c r="H49" t="s">
        <v>147</v>
      </c>
    </row>
    <row r="50" spans="1:8" x14ac:dyDescent="0.3">
      <c r="A50">
        <v>6</v>
      </c>
      <c r="B50">
        <v>4</v>
      </c>
      <c r="C50" t="s">
        <v>148</v>
      </c>
      <c r="D50" t="s">
        <v>149</v>
      </c>
      <c r="E50" t="s">
        <v>43</v>
      </c>
      <c r="F50" t="s">
        <v>150</v>
      </c>
      <c r="G50" t="s">
        <v>45</v>
      </c>
      <c r="H50" t="s">
        <v>45</v>
      </c>
    </row>
    <row r="51" spans="1:8" x14ac:dyDescent="0.3">
      <c r="A51">
        <v>7</v>
      </c>
      <c r="B51">
        <v>4</v>
      </c>
      <c r="C51" t="s">
        <v>151</v>
      </c>
      <c r="D51" t="s">
        <v>152</v>
      </c>
      <c r="E51" t="s">
        <v>43</v>
      </c>
      <c r="F51" t="s">
        <v>153</v>
      </c>
      <c r="G51" t="s">
        <v>45</v>
      </c>
      <c r="H51" t="s">
        <v>45</v>
      </c>
    </row>
    <row r="52" spans="1:8" x14ac:dyDescent="0.3">
      <c r="A52">
        <v>8</v>
      </c>
      <c r="B52">
        <v>1</v>
      </c>
      <c r="C52" t="s">
        <v>154</v>
      </c>
      <c r="D52" t="s">
        <v>155</v>
      </c>
      <c r="E52" t="s">
        <v>43</v>
      </c>
      <c r="F52" t="s">
        <v>156</v>
      </c>
      <c r="G52" t="s">
        <v>45</v>
      </c>
      <c r="H52" t="s">
        <v>45</v>
      </c>
    </row>
    <row r="53" spans="1:8" x14ac:dyDescent="0.3">
      <c r="A53" s="6"/>
      <c r="B53" s="6"/>
      <c r="C53" s="2"/>
      <c r="D53" s="6"/>
      <c r="E53" s="6"/>
      <c r="F53" s="1"/>
      <c r="G53" s="1"/>
    </row>
    <row r="54" spans="1:8" x14ac:dyDescent="0.3">
      <c r="A54" s="6"/>
      <c r="B54" s="6"/>
      <c r="C54" s="2"/>
      <c r="D54" s="6"/>
      <c r="E54" s="6"/>
      <c r="F54" s="1"/>
      <c r="G54" s="1"/>
    </row>
    <row r="55" spans="1:8" x14ac:dyDescent="0.3">
      <c r="A55" s="6"/>
      <c r="B55" s="9" t="s">
        <v>157</v>
      </c>
      <c r="C55" s="2"/>
      <c r="D55" s="6"/>
      <c r="E55" s="6"/>
      <c r="F55" s="1"/>
      <c r="G55" s="1"/>
    </row>
    <row r="56" spans="1:8" x14ac:dyDescent="0.3">
      <c r="A56" t="s">
        <v>33</v>
      </c>
      <c r="B56" t="s">
        <v>34</v>
      </c>
      <c r="C56" t="s">
        <v>35</v>
      </c>
      <c r="D56" t="s">
        <v>36</v>
      </c>
      <c r="E56" t="s">
        <v>37</v>
      </c>
      <c r="F56" t="s">
        <v>38</v>
      </c>
      <c r="G56" t="s">
        <v>39</v>
      </c>
      <c r="H56" t="s">
        <v>40</v>
      </c>
    </row>
    <row r="57" spans="1:8" x14ac:dyDescent="0.3">
      <c r="A57">
        <v>1</v>
      </c>
      <c r="B57">
        <v>1</v>
      </c>
      <c r="C57" t="s">
        <v>158</v>
      </c>
      <c r="D57" t="s">
        <v>159</v>
      </c>
      <c r="E57" t="s">
        <v>56</v>
      </c>
      <c r="F57" t="s">
        <v>160</v>
      </c>
      <c r="G57" t="s">
        <v>45</v>
      </c>
      <c r="H57" t="s">
        <v>45</v>
      </c>
    </row>
    <row r="58" spans="1:8" x14ac:dyDescent="0.3">
      <c r="A58">
        <v>2</v>
      </c>
      <c r="B58">
        <v>1</v>
      </c>
      <c r="C58" t="s">
        <v>161</v>
      </c>
      <c r="D58" t="s">
        <v>162</v>
      </c>
      <c r="E58" t="s">
        <v>56</v>
      </c>
      <c r="F58" t="s">
        <v>163</v>
      </c>
      <c r="G58" t="s">
        <v>45</v>
      </c>
      <c r="H58" t="s">
        <v>45</v>
      </c>
    </row>
    <row r="59" spans="1:8" x14ac:dyDescent="0.3">
      <c r="A59">
        <v>3</v>
      </c>
      <c r="B59">
        <v>3</v>
      </c>
      <c r="C59" t="s">
        <v>164</v>
      </c>
      <c r="D59" t="s">
        <v>27</v>
      </c>
      <c r="E59" t="s">
        <v>56</v>
      </c>
      <c r="F59" t="s">
        <v>23</v>
      </c>
      <c r="G59" t="s">
        <v>45</v>
      </c>
      <c r="H59" t="s">
        <v>45</v>
      </c>
    </row>
    <row r="60" spans="1:8" x14ac:dyDescent="0.3">
      <c r="A60">
        <v>4</v>
      </c>
      <c r="B60">
        <v>6</v>
      </c>
      <c r="C60" t="s">
        <v>165</v>
      </c>
      <c r="D60" t="s">
        <v>166</v>
      </c>
      <c r="E60" t="s">
        <v>43</v>
      </c>
      <c r="F60" t="s">
        <v>167</v>
      </c>
      <c r="G60" t="s">
        <v>45</v>
      </c>
      <c r="H60" t="s">
        <v>45</v>
      </c>
    </row>
    <row r="61" spans="1:8" x14ac:dyDescent="0.3">
      <c r="A61">
        <v>5</v>
      </c>
      <c r="B61">
        <v>3</v>
      </c>
      <c r="C61" t="s">
        <v>168</v>
      </c>
      <c r="D61" t="s">
        <v>169</v>
      </c>
      <c r="E61" t="s">
        <v>62</v>
      </c>
      <c r="F61" t="s">
        <v>170</v>
      </c>
      <c r="G61" t="s">
        <v>45</v>
      </c>
      <c r="H61" t="s">
        <v>45</v>
      </c>
    </row>
    <row r="62" spans="1:8" x14ac:dyDescent="0.3">
      <c r="A62" s="6"/>
      <c r="B62" s="6"/>
      <c r="C62" s="2"/>
      <c r="D62" s="6"/>
      <c r="E62" s="6"/>
      <c r="F62" s="1"/>
      <c r="G62" s="1"/>
    </row>
    <row r="63" spans="1:8" x14ac:dyDescent="0.3">
      <c r="A63" s="6"/>
      <c r="B63" s="6"/>
      <c r="C63" s="2"/>
      <c r="D63" s="6"/>
      <c r="E63" s="6"/>
      <c r="F63" s="1"/>
      <c r="G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MPS Parts List</vt:lpstr>
      <vt:lpstr>Exported Original BOMS from Inv</vt:lpstr>
    </vt:vector>
  </TitlesOfParts>
  <Company>HHMI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Arnold, Jon</dc:creator>
  <cp:lastModifiedBy>Arnold, Jon</cp:lastModifiedBy>
  <cp:lastPrinted>2014-08-22T20:28:47Z</cp:lastPrinted>
  <dcterms:created xsi:type="dcterms:W3CDTF">2014-07-07T13:24:00Z</dcterms:created>
  <dcterms:modified xsi:type="dcterms:W3CDTF">2015-05-15T13:05:12Z</dcterms:modified>
</cp:coreProperties>
</file>